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Реестр ЗС" sheetId="1" state="visible" r:id="rId3"/>
    <sheet name="Карта влияния" sheetId="2" state="visible" r:id="rId4"/>
    <sheet name="План коммуникаций" sheetId="3" state="visible" r:id="rId5"/>
  </sheets>
  <definedNames>
    <definedName function="false" hidden="false" localSheetId="0" name="_xlnm.Print_Titles" vbProcedure="false">'Реестр ЗС'!$3:$4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<sst xmlns="http://schemas.openxmlformats.org/spreadsheetml/2006/main" count="240" uniqueCount="174">
  <si>
    <t xml:space="preserve">Реестр заинтересованных сторон</t>
  </si>
  <si>
    <t xml:space="preserve">Проект: «Медбратишка» — платформа дистанционного взаимодействия пациента и личного врача   ·   Руководитель проекта: [ФИО]   ·   Дата: 28.09.2026   ·   Версия: 1.0</t>
  </si>
  <si>
    <t xml:space="preserve">Дополнительно по заданию →</t>
  </si>
  <si>
    <t xml:space="preserve">№</t>
  </si>
  <si>
    <t xml:space="preserve">Заинтересованная сторона
(организация/ФИО/должность)</t>
  </si>
  <si>
    <t xml:space="preserve">Категория  (внешний/внутренний)</t>
  </si>
  <si>
    <t xml:space="preserve">Роль в проекте</t>
  </si>
  <si>
    <t xml:space="preserve">Требования</t>
  </si>
  <si>
    <t xml:space="preserve">Ожидания</t>
  </si>
  <si>
    <t xml:space="preserve">Степень влияния (В — высокая, С — средняя, Н — низкая, «—» — нет)</t>
  </si>
  <si>
    <t xml:space="preserve">Заинтересованность (приверженность), И 1–5</t>
  </si>
  <si>
    <t xml:space="preserve">Важность поддержки
П = И × В</t>
  </si>
  <si>
    <t xml:space="preserve">Что будем делать
(в рамках управления отношениями)</t>
  </si>
  <si>
    <t xml:space="preserve">Влияние В, 1–5</t>
  </si>
  <si>
    <t xml:space="preserve">Методы влияния</t>
  </si>
  <si>
    <t xml:space="preserve">Вовлечённость: текущая → желаемая</t>
  </si>
  <si>
    <t xml:space="preserve">Следствие для проекта (Т — требование, О — ограничение, Р — риск)</t>
  </si>
  <si>
    <t xml:space="preserve">Сроки</t>
  </si>
  <si>
    <t xml:space="preserve">Бюджет</t>
  </si>
  <si>
    <t xml:space="preserve">Содержание</t>
  </si>
  <si>
    <t xml:space="preserve">Другое</t>
  </si>
  <si>
    <t xml:space="preserve">ЗС-01</t>
  </si>
  <si>
    <t xml:space="preserve">Заказчик — руководство частной клиники (роль исполняет команда-заказчик)</t>
  </si>
  <si>
    <t xml:space="preserve">Внешняя (заказчик)</t>
  </si>
  <si>
    <t xml:space="preserve">Формулирует требования, принимает результат</t>
  </si>
  <si>
    <t xml:space="preserve">Работающий прототип по чек-листу приёмки (устав, п. 2.4); согласование изменений объёма, сроков и бюджета</t>
  </si>
  <si>
    <t xml:space="preserve">Рабочий прототип сервиса «личный врач» для премиум-пациентов в срок</t>
  </si>
  <si>
    <t xml:space="preserve">В</t>
  </si>
  <si>
    <t xml:space="preserve">Приёмка</t>
  </si>
  <si>
    <t xml:space="preserve">Управлять плотно: демо и приёмка раз в 2 недели; чат с ответом ≤ 2 раб. дней; изменения — через журнал изменений</t>
  </si>
  <si>
    <t xml:space="preserve">Приёмка по чек-листу, запросы на изменения, приоритизация бэклога</t>
  </si>
  <si>
    <t xml:space="preserve">Поддерживает → лидирует</t>
  </si>
  <si>
    <t xml:space="preserve">Т: критерии приёмки — чек-лист в уставе (п. 2.4). Р-04: расширение требований сверх согласованного объёма</t>
  </si>
  <si>
    <t xml:space="preserve">ЗС-02</t>
  </si>
  <si>
    <t xml:space="preserve">Преподаватель-куратор</t>
  </si>
  <si>
    <t xml:space="preserve">Внутренняя (спонсор)</t>
  </si>
  <si>
    <t xml:space="preserve">Спонсор и арбитр, оценивает артефакты</t>
  </si>
  <si>
    <t xml:space="preserve">Полные обоснованные артефакты в срок по графику пар; открытый трекер и репозиторий</t>
  </si>
  <si>
    <t xml:space="preserve">Полные и обоснованные артефакты, равномерная работа по трекеру</t>
  </si>
  <si>
    <t xml:space="preserve">—</t>
  </si>
  <si>
    <t xml:space="preserve">С</t>
  </si>
  <si>
    <t xml:space="preserve">Оценка работы</t>
  </si>
  <si>
    <t xml:space="preserve">Управлять плотно: отчёт на паре раз в 2 недели; постоянный доступ к трекеру и репозиторию</t>
  </si>
  <si>
    <t xml:space="preserve">Оценки, арбитраж конфликтов, утверждение изменений состава команды</t>
  </si>
  <si>
    <t xml:space="preserve">Нейтрален → поддерживает</t>
  </si>
  <si>
    <t xml:space="preserve">О-06: сроки фаз по графику пар. Р-06: спорная приёмка решается через куратора</t>
  </si>
  <si>
    <t xml:space="preserve">ЗС-03</t>
  </si>
  <si>
    <t xml:space="preserve">Команда проекта (5 человек)</t>
  </si>
  <si>
    <t xml:space="preserve">Внутренняя</t>
  </si>
  <si>
    <t xml:space="preserve">Исполнитель</t>
  </si>
  <si>
    <t xml:space="preserve">Реализуемый объём в пределах фонда 34 ч в неделю на команду</t>
  </si>
  <si>
    <t xml:space="preserve">Реализуемый объём, понятные задачи, высокая оценка</t>
  </si>
  <si>
    <t xml:space="preserve">Управлять плотно: синхронизация 20 мин 2 раза в неделю; WIP-лимит 2 задачи на человека</t>
  </si>
  <si>
    <t xml:space="preserve">Оценки трудоёмкости, выбор технических решений</t>
  </si>
  <si>
    <t xml:space="preserve">Лидирует → лидирует</t>
  </si>
  <si>
    <t xml:space="preserve">О-05: фонд времени 34 ч в неделю на команду</t>
  </si>
  <si>
    <t xml:space="preserve">ЗС-05</t>
  </si>
  <si>
    <t xml:space="preserve">Врачи клиники</t>
  </si>
  <si>
    <t xml:space="preserve">Внешняя (пользователь)</t>
  </si>
  <si>
    <t xml:space="preserve">Роль «врач»</t>
  </si>
  <si>
    <t xml:space="preserve">Список только своих пациентов; назначения и напоминания для пациента</t>
  </si>
  <si>
    <t xml:space="preserve">Постоянная связь со «своими» пациентами без перегрузки</t>
  </si>
  <si>
    <t xml:space="preserve">Управлять плотно (через представителя заказчика): проверка сценариев врача на демо, итерации 2–4</t>
  </si>
  <si>
    <t xml:space="preserve">Отказ пользоваться системой, требования к удобству</t>
  </si>
  <si>
    <t xml:space="preserve">Т-06: у врача список только своих пациентов по активным подпискам. Т-08: назначения и напоминания для пациента</t>
  </si>
  <si>
    <t xml:space="preserve">ЗС-04</t>
  </si>
  <si>
    <t xml:space="preserve">Пациенты клиники</t>
  </si>
  <si>
    <t xml:space="preserve">Роль «пациент»</t>
  </si>
  <si>
    <t xml:space="preserve">Подписка по коду от врача; доступ к истории после окончания подписки</t>
  </si>
  <si>
    <t xml:space="preserve">Быстрый ответ своего врача, доступ к истории и назначениям</t>
  </si>
  <si>
    <t xml:space="preserve">Информировать: проверка сценариев пациента на демо (роль играет заказчик)</t>
  </si>
  <si>
    <t xml:space="preserve">Отказ от подписки, отзывы</t>
  </si>
  <si>
    <t xml:space="preserve">Не осведомлён → поддерживает</t>
  </si>
  <si>
    <t xml:space="preserve">Т-02: подписка активируется кодом от врача. Т-04: после окончания подписки чат только для чтения</t>
  </si>
  <si>
    <t xml:space="preserve">ЗС-06</t>
  </si>
  <si>
    <t xml:space="preserve">Администраторы клиники</t>
  </si>
  <si>
    <t xml:space="preserve">Роль «администратор клиники»</t>
  </si>
  <si>
    <t xml:space="preserve">Отдельный вход персонала; управление врачами и профилем клиники</t>
  </si>
  <si>
    <t xml:space="preserve">Простое управление врачами и данными клиники</t>
  </si>
  <si>
    <t xml:space="preserve">Информировать: проверка сценариев администратора на демо</t>
  </si>
  <si>
    <t xml:space="preserve">Требования к кабинету администратора</t>
  </si>
  <si>
    <t xml:space="preserve">Т-03: отдельный вход персонала, управление врачами и профилем клиники</t>
  </si>
  <si>
    <t xml:space="preserve">ЗС-07</t>
  </si>
  <si>
    <t xml:space="preserve">Роскомнадзор (надзор за персональными данными, 152-ФЗ)</t>
  </si>
  <si>
    <t xml:space="preserve">Внешняя</t>
  </si>
  <si>
    <t xml:space="preserve">Регулятор (персональные данные)</t>
  </si>
  <si>
    <t xml:space="preserve">Согласие на обработку ПД; мягкое удаление; в прототипе только демо-данные</t>
  </si>
  <si>
    <t xml:space="preserve">Законная обработка и локализация ПД</t>
  </si>
  <si>
    <t xml:space="preserve">Блокировка сервиса при запуске</t>
  </si>
  <si>
    <t xml:space="preserve">Удовлетворять: требования 152-ФЗ зафиксированы в уставе как неизменяемые</t>
  </si>
  <si>
    <t xml:space="preserve">Проверки, предписания, блокировка сервиса</t>
  </si>
  <si>
    <t xml:space="preserve">Нейтрален → нейтрален</t>
  </si>
  <si>
    <t xml:space="preserve">Т-01: согласие на обработку ПД при регистрации. Т-07: мягкое удаление, история хранится. О-01: в прототипе только демо-данные</t>
  </si>
  <si>
    <t xml:space="preserve">ЗС-08</t>
  </si>
  <si>
    <t xml:space="preserve">Минздрав России, Росздравнадзор (порядок телемедицины, 323-ФЗ)</t>
  </si>
  <si>
    <t xml:space="preserve">Регулятор (телемедицина)</t>
  </si>
  <si>
    <t xml:space="preserve">Дистанционное ведение только после очного приёма; платформа не ставит диагнозы</t>
  </si>
  <si>
    <t xml:space="preserve">Дистанционное взаимодействие только в рамках закона</t>
  </si>
  <si>
    <t xml:space="preserve">Проверки клиники</t>
  </si>
  <si>
    <t xml:space="preserve">Удовлетворять: требования 323-ФЗ зафиксированы в уставе как неизменяемые</t>
  </si>
  <si>
    <t xml:space="preserve">Нормативные требования, проверки клиники</t>
  </si>
  <si>
    <t xml:space="preserve">Т-02: дистанционное ведение только после очного приёма (код выдаётся на приёме). О-02: платформа не ставит диагнозы — предупреждение в чате</t>
  </si>
  <si>
    <t xml:space="preserve">ЗС-10</t>
  </si>
  <si>
    <t xml:space="preserve">Облачный провайдер в РФ (хостинг, S3-хранилище)</t>
  </si>
  <si>
    <t xml:space="preserve">Потенциальный поставщик инфраструктуры</t>
  </si>
  <si>
    <t xml:space="preserve">Привязка банковской карты для облачного размещения</t>
  </si>
  <si>
    <t xml:space="preserve">Использование своих услуг</t>
  </si>
  <si>
    <t xml:space="preserve">Н</t>
  </si>
  <si>
    <t xml:space="preserve">Мониторить: демо-стенд разворачивается локально на Docker</t>
  </si>
  <si>
    <t xml:space="preserve">Условия тарифов, привязка карты, доступность</t>
  </si>
  <si>
    <t xml:space="preserve">О-01: демо-стенд разворачивается локально (Docker, PostgreSQL, MinIO). Р-02: облако недоступно без банковской карты</t>
  </si>
  <si>
    <t xml:space="preserve">ЗС-12</t>
  </si>
  <si>
    <t xml:space="preserve">Поставщик МИС клиники</t>
  </si>
  <si>
    <t xml:space="preserve">Владелец смежной системы</t>
  </si>
  <si>
    <t xml:space="preserve">Сохранение МИС как основной системы клиники</t>
  </si>
  <si>
    <t xml:space="preserve">Мониторить: интеграция с МИС исключена из объёма</t>
  </si>
  <si>
    <t xml:space="preserve">Отказ в API, требования к интеграции</t>
  </si>
  <si>
    <t xml:space="preserve">Сопротивляется → нейтрален</t>
  </si>
  <si>
    <t xml:space="preserve">О-03: интеграция с МИС исключена, врачи и клиники заводятся вручную администратором</t>
  </si>
  <si>
    <t xml:space="preserve">ЗС-11</t>
  </si>
  <si>
    <t xml:space="preserve">Конкуренты (SmartMed, «Доктор Рядом», Яндекс Здоровье)</t>
  </si>
  <si>
    <t xml:space="preserve">Конкуренты</t>
  </si>
  <si>
    <t xml:space="preserve">Не предъявляют; задают планку рынка</t>
  </si>
  <si>
    <t xml:space="preserve">Удержание рынка телемедицины</t>
  </si>
  <si>
    <t xml:space="preserve">Цена подписки</t>
  </si>
  <si>
    <t xml:space="preserve">Мониторить: сравнение функций; фокус на закреплении пациента за врачом</t>
  </si>
  <si>
    <t xml:space="preserve">Аналогичные функции, ценовое давление</t>
  </si>
  <si>
    <t xml:space="preserve">Сопротивляется → сопротивляется</t>
  </si>
  <si>
    <t xml:space="preserve">Т-06: ключевое отличие — постоянное закрепление пациента за одним врачом, а не разовые консультации</t>
  </si>
  <si>
    <t xml:space="preserve">ЗС-09</t>
  </si>
  <si>
    <t xml:space="preserve">Google Firebase (доставка push-уведомлений)</t>
  </si>
  <si>
    <t xml:space="preserve">Поставщик сервиса push-уведомлений (заменён заглушкой)</t>
  </si>
  <si>
    <t xml:space="preserve">Условия использования FCM, ограничения доступа из РФ</t>
  </si>
  <si>
    <t xml:space="preserve">Использование FCM</t>
  </si>
  <si>
    <t xml:space="preserve">Мониторить: уведомления через WebSocket, внешний push — заглушка</t>
  </si>
  <si>
    <t xml:space="preserve">Ограничения доступа из РФ, изменения условий</t>
  </si>
  <si>
    <t xml:space="preserve">О-04: внешние push — заглушка, уведомления через WebSocket внутри приложения. Р-01: ограничение FCM в РФ</t>
  </si>
  <si>
    <t xml:space="preserve">ЗС-13</t>
  </si>
  <si>
    <t xml:space="preserve">Преподаватели других дисциплин</t>
  </si>
  <si>
    <t xml:space="preserve">Конкурируют за время команды</t>
  </si>
  <si>
    <t xml:space="preserve">Выполнение заданий по своим дисциплинам</t>
  </si>
  <si>
    <t xml:space="preserve">Выполнение своих заданий командой</t>
  </si>
  <si>
    <t xml:space="preserve">Мониторить: буфер в итерациях 3–4 на период аттестации</t>
  </si>
  <si>
    <t xml:space="preserve">Конкурируют за время команды, особенно в аттестации</t>
  </si>
  <si>
    <t xml:space="preserve">Р-03: перегрузка команды в период аттестаций — буфер в расписании итераций 3–4</t>
  </si>
  <si>
    <t xml:space="preserve">Шкалы: заинтересованность И и влияние В — от 1 (минимум) до 5 (максимум); важность поддержки П = И × В (1–25) считается формулой.</t>
  </si>
  <si>
    <t xml:space="preserve">Оценки получены итеративно пятью участниками команды: независимая оценка → обсуждение расхождений → повтор до разброса ≤ 1 балла; итог — округлённое среднее.</t>
  </si>
  <si>
    <t xml:space="preserve">Стратегия — по сетке «влияние — заинтересованность» (Менделоу): В ≥ 4 и И ≥ 4 — управлять плотно; В ≥ 4 и И ≤ 3 — удовлетворять; В ≤ 3 и И ≥ 4 — информировать; остальные — мониторить.</t>
  </si>
  <si>
    <t xml:space="preserve">Вовлечённость: не осведомлён — сопротивляется — нейтрален — поддерживает — лидирует. Внешних сторон (без заказчика и пользователей) — 7: ЗС-07 … ЗС-13.</t>
  </si>
  <si>
    <t xml:space="preserve">Коды Т, О, Р используются в уставе проекта и реестре рисков. Карта сторон — лист «Карта влияния», график коммуникаций — лист «План коммуникаций».</t>
  </si>
  <si>
    <t xml:space="preserve">Карта заинтересованных сторон: влияние × заинтересованность</t>
  </si>
  <si>
    <t xml:space="preserve">План коммуникаций со сторонами, вовлечёнными в работу</t>
  </si>
  <si>
    <t xml:space="preserve">ID</t>
  </si>
  <si>
    <t xml:space="preserve">Формат</t>
  </si>
  <si>
    <t xml:space="preserve">Частота</t>
  </si>
  <si>
    <t xml:space="preserve">Ответственный</t>
  </si>
  <si>
    <t xml:space="preserve">Демо и приёмка на паре</t>
  </si>
  <si>
    <t xml:space="preserve">Раз в 2 недели</t>
  </si>
  <si>
    <t xml:space="preserve">Инкремент, статус (CV, SV, EAC), риски, план итерации</t>
  </si>
  <si>
    <t xml:space="preserve">Руководитель проекта</t>
  </si>
  <si>
    <t xml:space="preserve">Чат команды с заказчиком</t>
  </si>
  <si>
    <t xml:space="preserve">По событию, ответ ≤ 2 рабочих дней</t>
  </si>
  <si>
    <t xml:space="preserve">Уточнение требований, запросы на изменения</t>
  </si>
  <si>
    <t xml:space="preserve">Аналитик</t>
  </si>
  <si>
    <t xml:space="preserve">Отчёт на паре, доступ к трекеру и репозиторию</t>
  </si>
  <si>
    <t xml:space="preserve">Раз в 2 недели; трекер — постоянно</t>
  </si>
  <si>
    <t xml:space="preserve">Артефакты, трудозатраты, отклонения</t>
  </si>
  <si>
    <t xml:space="preserve">Синхронизация команды (20 мин)</t>
  </si>
  <si>
    <t xml:space="preserve">2 раза в неделю</t>
  </si>
  <si>
    <t xml:space="preserve">Прогресс, блокеры, перераспределение задач</t>
  </si>
  <si>
    <t xml:space="preserve">ЗС-04, 05, 06</t>
  </si>
  <si>
    <t xml:space="preserve">Проверка сценариев ролей на демо (роли играет заказчик)</t>
  </si>
  <si>
    <t xml:space="preserve">Итерации 2–4</t>
  </si>
  <si>
    <t xml:space="preserve">Удобство сценариев, замечания в бэклог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</si>
</sst>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9"/>
      <name val="Arial"/>
      <family val="0"/>
      <charset val="1"/>
    </font>
    <font>
      <i val="true"/>
      <sz val="8"/>
      <color rgb="FF1F3864"/>
      <name val="Arial"/>
      <family val="0"/>
      <charset val="1"/>
    </font>
    <font>
      <b val="true"/>
      <sz val="9"/>
      <color rgb="FF1F3864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AC090"/>
        <bgColor rgb="FFC0C0C0"/>
      </patternFill>
    </fill>
    <fill>
      <patternFill patternType="solid">
        <fgColor rgb="FFF28B82"/>
        <bgColor rgb="FFFF99CC"/>
      </patternFill>
    </fill>
    <fill>
      <patternFill patternType="solid">
        <fgColor rgb="FF8B3A0F"/>
        <bgColor rgb="FF993366"/>
      </patternFill>
    </fill>
    <fill>
      <patternFill patternType="solid">
        <fgColor rgb="FFDCE6F1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1"/>
      <rgbColor rgb="FF660066"/>
      <rgbColor rgb="FFF28B82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AC09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8B3A0F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0</xdr:rowOff>
    </xdr:from>
    <xdr:to>
      <xdr:col>14</xdr:col>
      <xdr:colOff>11160</xdr:colOff>
      <xdr:row>25</xdr:row>
      <xdr:rowOff>56880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380880"/>
          <a:ext cx="8572320" cy="44384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30"/>
    <col collapsed="false" customWidth="true" hidden="false" outlineLevel="0" max="6" min="6" style="0" width="26"/>
    <col collapsed="false" customWidth="true" hidden="false" outlineLevel="0" max="9" min="7" style="0" width="5"/>
    <col collapsed="false" customWidth="true" hidden="false" outlineLevel="0" max="10" min="10" style="0" width="12"/>
    <col collapsed="false" customWidth="true" hidden="false" outlineLevel="0" max="12" min="11" style="0" width="7"/>
    <col collapsed="false" customWidth="true" hidden="false" outlineLevel="0" max="13" min="13" style="0" width="34"/>
    <col collapsed="false" customWidth="true" hidden="false" outlineLevel="0" max="14" min="14" style="0" width="6"/>
    <col collapsed="false" customWidth="true" hidden="false" outlineLevel="0" max="15" min="15" style="0" width="24"/>
    <col collapsed="false" customWidth="true" hidden="false" outlineLevel="0" max="16" min="16" style="0" width="16"/>
    <col collapsed="false" customWidth="true" hidden="false" outlineLevel="0" max="17" min="17" style="0" width="40"/>
  </cols>
  <sheetData>
    <row r="1" customFormat="false" ht="1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  <c r="N2" s="3" t="s">
        <v>2</v>
      </c>
    </row>
    <row r="3" customFormat="false" ht="39.75" hidden="false" customHeight="true" outlineLevel="0" collapsed="false">
      <c r="A3" s="4" t="s">
        <v>3</v>
      </c>
      <c r="B3" s="5" t="s">
        <v>4</v>
      </c>
      <c r="C3" s="4" t="s">
        <v>5</v>
      </c>
      <c r="D3" s="4" t="s">
        <v>6</v>
      </c>
      <c r="E3" s="6" t="s">
        <v>7</v>
      </c>
      <c r="F3" s="6" t="s">
        <v>8</v>
      </c>
      <c r="G3" s="7" t="s">
        <v>9</v>
      </c>
      <c r="H3" s="7"/>
      <c r="I3" s="7"/>
      <c r="J3" s="7"/>
      <c r="K3" s="4" t="s">
        <v>10</v>
      </c>
      <c r="L3" s="8" t="s">
        <v>11</v>
      </c>
      <c r="M3" s="9" t="s">
        <v>12</v>
      </c>
      <c r="N3" s="10" t="s">
        <v>13</v>
      </c>
      <c r="O3" s="11" t="s">
        <v>14</v>
      </c>
      <c r="P3" s="11" t="s">
        <v>15</v>
      </c>
      <c r="Q3" s="11" t="s">
        <v>16</v>
      </c>
    </row>
    <row r="4" customFormat="false" ht="120" hidden="false" customHeight="true" outlineLevel="0" collapsed="false">
      <c r="A4" s="4"/>
      <c r="B4" s="4"/>
      <c r="C4" s="4"/>
      <c r="D4" s="4"/>
      <c r="E4" s="4"/>
      <c r="F4" s="4"/>
      <c r="G4" s="12" t="s">
        <v>17</v>
      </c>
      <c r="H4" s="12" t="s">
        <v>18</v>
      </c>
      <c r="I4" s="12" t="s">
        <v>19</v>
      </c>
      <c r="J4" s="12" t="s">
        <v>20</v>
      </c>
      <c r="K4" s="4"/>
      <c r="L4" s="4"/>
      <c r="M4" s="4"/>
      <c r="N4" s="4"/>
      <c r="O4" s="4"/>
      <c r="P4" s="4"/>
      <c r="Q4" s="4"/>
    </row>
    <row r="5" customFormat="false" ht="72" hidden="false" customHeight="true" outlineLevel="0" collapsed="false">
      <c r="A5" s="13" t="s">
        <v>21</v>
      </c>
      <c r="B5" s="14" t="s">
        <v>22</v>
      </c>
      <c r="C5" s="14" t="s">
        <v>23</v>
      </c>
      <c r="D5" s="14" t="s">
        <v>24</v>
      </c>
      <c r="E5" s="14" t="s">
        <v>25</v>
      </c>
      <c r="F5" s="14" t="s">
        <v>26</v>
      </c>
      <c r="G5" s="13" t="s">
        <v>27</v>
      </c>
      <c r="H5" s="13" t="s">
        <v>27</v>
      </c>
      <c r="I5" s="13" t="s">
        <v>27</v>
      </c>
      <c r="J5" s="14" t="s">
        <v>28</v>
      </c>
      <c r="K5" s="13" t="n">
        <v>5</v>
      </c>
      <c r="L5" s="15" t="n">
        <f aca="false">K5*N5</f>
        <v>25</v>
      </c>
      <c r="M5" s="14" t="s">
        <v>29</v>
      </c>
      <c r="N5" s="13" t="n">
        <v>5</v>
      </c>
      <c r="O5" s="14" t="s">
        <v>30</v>
      </c>
      <c r="P5" s="14" t="s">
        <v>31</v>
      </c>
      <c r="Q5" s="14" t="s">
        <v>32</v>
      </c>
    </row>
    <row r="6" customFormat="false" ht="72" hidden="false" customHeight="true" outlineLevel="0" collapsed="false">
      <c r="A6" s="13" t="s">
        <v>33</v>
      </c>
      <c r="B6" s="14" t="s">
        <v>34</v>
      </c>
      <c r="C6" s="14" t="s">
        <v>35</v>
      </c>
      <c r="D6" s="14" t="s">
        <v>36</v>
      </c>
      <c r="E6" s="14" t="s">
        <v>37</v>
      </c>
      <c r="F6" s="14" t="s">
        <v>38</v>
      </c>
      <c r="G6" s="13" t="s">
        <v>27</v>
      </c>
      <c r="H6" s="13" t="s">
        <v>39</v>
      </c>
      <c r="I6" s="13" t="s">
        <v>40</v>
      </c>
      <c r="J6" s="14" t="s">
        <v>41</v>
      </c>
      <c r="K6" s="13" t="n">
        <v>4</v>
      </c>
      <c r="L6" s="15" t="n">
        <f aca="false">K6*N6</f>
        <v>20</v>
      </c>
      <c r="M6" s="14" t="s">
        <v>42</v>
      </c>
      <c r="N6" s="13" t="n">
        <v>5</v>
      </c>
      <c r="O6" s="14" t="s">
        <v>43</v>
      </c>
      <c r="P6" s="14" t="s">
        <v>44</v>
      </c>
      <c r="Q6" s="14" t="s">
        <v>45</v>
      </c>
    </row>
    <row r="7" customFormat="false" ht="72" hidden="false" customHeight="true" outlineLevel="0" collapsed="false">
      <c r="A7" s="13" t="s">
        <v>46</v>
      </c>
      <c r="B7" s="14" t="s">
        <v>47</v>
      </c>
      <c r="C7" s="14" t="s">
        <v>48</v>
      </c>
      <c r="D7" s="14" t="s">
        <v>49</v>
      </c>
      <c r="E7" s="14" t="s">
        <v>50</v>
      </c>
      <c r="F7" s="14" t="s">
        <v>51</v>
      </c>
      <c r="G7" s="13" t="s">
        <v>27</v>
      </c>
      <c r="H7" s="13" t="s">
        <v>40</v>
      </c>
      <c r="I7" s="13" t="s">
        <v>27</v>
      </c>
      <c r="J7" s="14" t="s">
        <v>39</v>
      </c>
      <c r="K7" s="13" t="n">
        <v>5</v>
      </c>
      <c r="L7" s="15" t="n">
        <f aca="false">K7*N7</f>
        <v>20</v>
      </c>
      <c r="M7" s="14" t="s">
        <v>52</v>
      </c>
      <c r="N7" s="13" t="n">
        <v>4</v>
      </c>
      <c r="O7" s="14" t="s">
        <v>53</v>
      </c>
      <c r="P7" s="14" t="s">
        <v>54</v>
      </c>
      <c r="Q7" s="14" t="s">
        <v>55</v>
      </c>
    </row>
    <row r="8" customFormat="false" ht="72" hidden="false" customHeight="true" outlineLevel="0" collapsed="false">
      <c r="A8" s="13" t="s">
        <v>56</v>
      </c>
      <c r="B8" s="14" t="s">
        <v>57</v>
      </c>
      <c r="C8" s="14" t="s">
        <v>58</v>
      </c>
      <c r="D8" s="14" t="s">
        <v>59</v>
      </c>
      <c r="E8" s="14" t="s">
        <v>60</v>
      </c>
      <c r="F8" s="14" t="s">
        <v>61</v>
      </c>
      <c r="G8" s="13" t="s">
        <v>39</v>
      </c>
      <c r="H8" s="13" t="s">
        <v>39</v>
      </c>
      <c r="I8" s="13" t="s">
        <v>27</v>
      </c>
      <c r="J8" s="14" t="s">
        <v>39</v>
      </c>
      <c r="K8" s="13" t="n">
        <v>4</v>
      </c>
      <c r="L8" s="15" t="n">
        <f aca="false">K8*N8</f>
        <v>16</v>
      </c>
      <c r="M8" s="14" t="s">
        <v>62</v>
      </c>
      <c r="N8" s="13" t="n">
        <v>4</v>
      </c>
      <c r="O8" s="14" t="s">
        <v>63</v>
      </c>
      <c r="P8" s="14" t="s">
        <v>44</v>
      </c>
      <c r="Q8" s="14" t="s">
        <v>64</v>
      </c>
    </row>
    <row r="9" customFormat="false" ht="72" hidden="false" customHeight="true" outlineLevel="0" collapsed="false">
      <c r="A9" s="13" t="s">
        <v>65</v>
      </c>
      <c r="B9" s="14" t="s">
        <v>66</v>
      </c>
      <c r="C9" s="14" t="s">
        <v>58</v>
      </c>
      <c r="D9" s="14" t="s">
        <v>67</v>
      </c>
      <c r="E9" s="14" t="s">
        <v>68</v>
      </c>
      <c r="F9" s="14" t="s">
        <v>69</v>
      </c>
      <c r="G9" s="13" t="s">
        <v>39</v>
      </c>
      <c r="H9" s="13" t="s">
        <v>39</v>
      </c>
      <c r="I9" s="13" t="s">
        <v>40</v>
      </c>
      <c r="J9" s="14" t="s">
        <v>39</v>
      </c>
      <c r="K9" s="13" t="n">
        <v>5</v>
      </c>
      <c r="L9" s="15" t="n">
        <f aca="false">K9*N9</f>
        <v>15</v>
      </c>
      <c r="M9" s="14" t="s">
        <v>70</v>
      </c>
      <c r="N9" s="13" t="n">
        <v>3</v>
      </c>
      <c r="O9" s="14" t="s">
        <v>71</v>
      </c>
      <c r="P9" s="14" t="s">
        <v>72</v>
      </c>
      <c r="Q9" s="14" t="s">
        <v>73</v>
      </c>
    </row>
    <row r="10" customFormat="false" ht="72" hidden="false" customHeight="true" outlineLevel="0" collapsed="false">
      <c r="A10" s="13" t="s">
        <v>74</v>
      </c>
      <c r="B10" s="14" t="s">
        <v>75</v>
      </c>
      <c r="C10" s="14" t="s">
        <v>58</v>
      </c>
      <c r="D10" s="14" t="s">
        <v>76</v>
      </c>
      <c r="E10" s="14" t="s">
        <v>77</v>
      </c>
      <c r="F10" s="14" t="s">
        <v>78</v>
      </c>
      <c r="G10" s="13" t="s">
        <v>39</v>
      </c>
      <c r="H10" s="13" t="s">
        <v>39</v>
      </c>
      <c r="I10" s="13" t="s">
        <v>40</v>
      </c>
      <c r="J10" s="14" t="s">
        <v>39</v>
      </c>
      <c r="K10" s="13" t="n">
        <v>4</v>
      </c>
      <c r="L10" s="15" t="n">
        <f aca="false">K10*N10</f>
        <v>12</v>
      </c>
      <c r="M10" s="14" t="s">
        <v>79</v>
      </c>
      <c r="N10" s="13" t="n">
        <v>3</v>
      </c>
      <c r="O10" s="14" t="s">
        <v>80</v>
      </c>
      <c r="P10" s="14" t="s">
        <v>72</v>
      </c>
      <c r="Q10" s="14" t="s">
        <v>81</v>
      </c>
    </row>
    <row r="11" customFormat="false" ht="72" hidden="false" customHeight="true" outlineLevel="0" collapsed="false">
      <c r="A11" s="13" t="s">
        <v>82</v>
      </c>
      <c r="B11" s="14" t="s">
        <v>83</v>
      </c>
      <c r="C11" s="14" t="s">
        <v>84</v>
      </c>
      <c r="D11" s="14" t="s">
        <v>85</v>
      </c>
      <c r="E11" s="14" t="s">
        <v>86</v>
      </c>
      <c r="F11" s="14" t="s">
        <v>87</v>
      </c>
      <c r="G11" s="13" t="s">
        <v>39</v>
      </c>
      <c r="H11" s="13" t="s">
        <v>39</v>
      </c>
      <c r="I11" s="13" t="s">
        <v>27</v>
      </c>
      <c r="J11" s="14" t="s">
        <v>88</v>
      </c>
      <c r="K11" s="13" t="n">
        <v>2</v>
      </c>
      <c r="L11" s="15" t="n">
        <f aca="false">K11*N11</f>
        <v>10</v>
      </c>
      <c r="M11" s="14" t="s">
        <v>89</v>
      </c>
      <c r="N11" s="13" t="n">
        <v>5</v>
      </c>
      <c r="O11" s="14" t="s">
        <v>90</v>
      </c>
      <c r="P11" s="14" t="s">
        <v>91</v>
      </c>
      <c r="Q11" s="14" t="s">
        <v>92</v>
      </c>
    </row>
    <row r="12" customFormat="false" ht="72" hidden="false" customHeight="true" outlineLevel="0" collapsed="false">
      <c r="A12" s="13" t="s">
        <v>93</v>
      </c>
      <c r="B12" s="14" t="s">
        <v>94</v>
      </c>
      <c r="C12" s="14" t="s">
        <v>84</v>
      </c>
      <c r="D12" s="14" t="s">
        <v>95</v>
      </c>
      <c r="E12" s="14" t="s">
        <v>96</v>
      </c>
      <c r="F12" s="14" t="s">
        <v>97</v>
      </c>
      <c r="G12" s="13" t="s">
        <v>39</v>
      </c>
      <c r="H12" s="13" t="s">
        <v>39</v>
      </c>
      <c r="I12" s="13" t="s">
        <v>27</v>
      </c>
      <c r="J12" s="14" t="s">
        <v>98</v>
      </c>
      <c r="K12" s="13" t="n">
        <v>2</v>
      </c>
      <c r="L12" s="15" t="n">
        <f aca="false">K12*N12</f>
        <v>10</v>
      </c>
      <c r="M12" s="14" t="s">
        <v>99</v>
      </c>
      <c r="N12" s="13" t="n">
        <v>5</v>
      </c>
      <c r="O12" s="14" t="s">
        <v>100</v>
      </c>
      <c r="P12" s="14" t="s">
        <v>91</v>
      </c>
      <c r="Q12" s="14" t="s">
        <v>101</v>
      </c>
    </row>
    <row r="13" customFormat="false" ht="72" hidden="false" customHeight="true" outlineLevel="0" collapsed="false">
      <c r="A13" s="13" t="s">
        <v>102</v>
      </c>
      <c r="B13" s="14" t="s">
        <v>103</v>
      </c>
      <c r="C13" s="14" t="s">
        <v>84</v>
      </c>
      <c r="D13" s="14" t="s">
        <v>104</v>
      </c>
      <c r="E13" s="14" t="s">
        <v>105</v>
      </c>
      <c r="F13" s="14" t="s">
        <v>106</v>
      </c>
      <c r="G13" s="13" t="s">
        <v>39</v>
      </c>
      <c r="H13" s="13" t="s">
        <v>40</v>
      </c>
      <c r="I13" s="13" t="s">
        <v>107</v>
      </c>
      <c r="J13" s="14" t="s">
        <v>39</v>
      </c>
      <c r="K13" s="13" t="n">
        <v>2</v>
      </c>
      <c r="L13" s="15" t="n">
        <f aca="false">K13*N13</f>
        <v>6</v>
      </c>
      <c r="M13" s="14" t="s">
        <v>108</v>
      </c>
      <c r="N13" s="13" t="n">
        <v>3</v>
      </c>
      <c r="O13" s="14" t="s">
        <v>109</v>
      </c>
      <c r="P13" s="14" t="s">
        <v>91</v>
      </c>
      <c r="Q13" s="14" t="s">
        <v>110</v>
      </c>
    </row>
    <row r="14" customFormat="false" ht="72" hidden="false" customHeight="true" outlineLevel="0" collapsed="false">
      <c r="A14" s="13" t="s">
        <v>111</v>
      </c>
      <c r="B14" s="14" t="s">
        <v>112</v>
      </c>
      <c r="C14" s="14" t="s">
        <v>84</v>
      </c>
      <c r="D14" s="14" t="s">
        <v>113</v>
      </c>
      <c r="E14" s="14" t="s">
        <v>114</v>
      </c>
      <c r="F14" s="14" t="s">
        <v>114</v>
      </c>
      <c r="G14" s="13" t="s">
        <v>39</v>
      </c>
      <c r="H14" s="13" t="s">
        <v>39</v>
      </c>
      <c r="I14" s="13" t="s">
        <v>107</v>
      </c>
      <c r="J14" s="14" t="s">
        <v>39</v>
      </c>
      <c r="K14" s="13" t="n">
        <v>3</v>
      </c>
      <c r="L14" s="15" t="n">
        <f aca="false">K14*N14</f>
        <v>6</v>
      </c>
      <c r="M14" s="14" t="s">
        <v>115</v>
      </c>
      <c r="N14" s="13" t="n">
        <v>2</v>
      </c>
      <c r="O14" s="14" t="s">
        <v>116</v>
      </c>
      <c r="P14" s="14" t="s">
        <v>117</v>
      </c>
      <c r="Q14" s="14" t="s">
        <v>118</v>
      </c>
    </row>
    <row r="15" customFormat="false" ht="72" hidden="false" customHeight="true" outlineLevel="0" collapsed="false">
      <c r="A15" s="13" t="s">
        <v>119</v>
      </c>
      <c r="B15" s="14" t="s">
        <v>120</v>
      </c>
      <c r="C15" s="14" t="s">
        <v>84</v>
      </c>
      <c r="D15" s="14" t="s">
        <v>121</v>
      </c>
      <c r="E15" s="14" t="s">
        <v>122</v>
      </c>
      <c r="F15" s="14" t="s">
        <v>123</v>
      </c>
      <c r="G15" s="13" t="s">
        <v>39</v>
      </c>
      <c r="H15" s="13" t="s">
        <v>39</v>
      </c>
      <c r="I15" s="13" t="s">
        <v>107</v>
      </c>
      <c r="J15" s="14" t="s">
        <v>124</v>
      </c>
      <c r="K15" s="13" t="n">
        <v>2</v>
      </c>
      <c r="L15" s="15" t="n">
        <f aca="false">K15*N15</f>
        <v>4</v>
      </c>
      <c r="M15" s="14" t="s">
        <v>125</v>
      </c>
      <c r="N15" s="13" t="n">
        <v>2</v>
      </c>
      <c r="O15" s="14" t="s">
        <v>126</v>
      </c>
      <c r="P15" s="14" t="s">
        <v>127</v>
      </c>
      <c r="Q15" s="14" t="s">
        <v>128</v>
      </c>
    </row>
    <row r="16" customFormat="false" ht="72" hidden="false" customHeight="true" outlineLevel="0" collapsed="false">
      <c r="A16" s="13" t="s">
        <v>129</v>
      </c>
      <c r="B16" s="14" t="s">
        <v>130</v>
      </c>
      <c r="C16" s="14" t="s">
        <v>84</v>
      </c>
      <c r="D16" s="14" t="s">
        <v>131</v>
      </c>
      <c r="E16" s="14" t="s">
        <v>132</v>
      </c>
      <c r="F16" s="14" t="s">
        <v>133</v>
      </c>
      <c r="G16" s="13" t="s">
        <v>39</v>
      </c>
      <c r="H16" s="13" t="s">
        <v>39</v>
      </c>
      <c r="I16" s="13" t="s">
        <v>107</v>
      </c>
      <c r="J16" s="14" t="s">
        <v>39</v>
      </c>
      <c r="K16" s="13" t="n">
        <v>1</v>
      </c>
      <c r="L16" s="15" t="n">
        <f aca="false">K16*N16</f>
        <v>3</v>
      </c>
      <c r="M16" s="14" t="s">
        <v>134</v>
      </c>
      <c r="N16" s="13" t="n">
        <v>3</v>
      </c>
      <c r="O16" s="14" t="s">
        <v>135</v>
      </c>
      <c r="P16" s="14" t="s">
        <v>91</v>
      </c>
      <c r="Q16" s="14" t="s">
        <v>136</v>
      </c>
    </row>
    <row r="17" customFormat="false" ht="72" hidden="false" customHeight="true" outlineLevel="0" collapsed="false">
      <c r="A17" s="13" t="s">
        <v>137</v>
      </c>
      <c r="B17" s="14" t="s">
        <v>138</v>
      </c>
      <c r="C17" s="14" t="s">
        <v>84</v>
      </c>
      <c r="D17" s="14" t="s">
        <v>139</v>
      </c>
      <c r="E17" s="14" t="s">
        <v>140</v>
      </c>
      <c r="F17" s="14" t="s">
        <v>141</v>
      </c>
      <c r="G17" s="13" t="s">
        <v>40</v>
      </c>
      <c r="H17" s="13" t="s">
        <v>39</v>
      </c>
      <c r="I17" s="13" t="s">
        <v>39</v>
      </c>
      <c r="J17" s="14" t="s">
        <v>39</v>
      </c>
      <c r="K17" s="13" t="n">
        <v>1</v>
      </c>
      <c r="L17" s="15" t="n">
        <f aca="false">K17*N17</f>
        <v>3</v>
      </c>
      <c r="M17" s="14" t="s">
        <v>142</v>
      </c>
      <c r="N17" s="13" t="n">
        <v>3</v>
      </c>
      <c r="O17" s="14" t="s">
        <v>143</v>
      </c>
      <c r="P17" s="14" t="s">
        <v>91</v>
      </c>
      <c r="Q17" s="14" t="s">
        <v>144</v>
      </c>
    </row>
    <row r="19" customFormat="false" ht="15" hidden="false" customHeight="false" outlineLevel="0" collapsed="false">
      <c r="B19" s="2" t="s">
        <v>145</v>
      </c>
    </row>
    <row r="20" customFormat="false" ht="15" hidden="false" customHeight="false" outlineLevel="0" collapsed="false">
      <c r="B20" s="2" t="s">
        <v>146</v>
      </c>
    </row>
    <row r="21" customFormat="false" ht="15" hidden="false" customHeight="false" outlineLevel="0" collapsed="false">
      <c r="B21" s="2" t="s">
        <v>147</v>
      </c>
    </row>
    <row r="22" customFormat="false" ht="15" hidden="false" customHeight="false" outlineLevel="0" collapsed="false">
      <c r="B22" s="2" t="s">
        <v>148</v>
      </c>
    </row>
    <row r="23" customFormat="false" ht="15" hidden="false" customHeight="false" outlineLevel="0" collapsed="false">
      <c r="B23" s="2" t="s">
        <v>149</v>
      </c>
    </row>
  </sheetData>
  <mergeCells count="14">
    <mergeCell ref="A3:A4"/>
    <mergeCell ref="B3:B4"/>
    <mergeCell ref="C3:C4"/>
    <mergeCell ref="D3:D4"/>
    <mergeCell ref="E3:E4"/>
    <mergeCell ref="F3:F4"/>
    <mergeCell ref="G3:J3"/>
    <mergeCell ref="K3:K4"/>
    <mergeCell ref="L3:L4"/>
    <mergeCell ref="M3:M4"/>
    <mergeCell ref="N3:N4"/>
    <mergeCell ref="O3:O4"/>
    <mergeCell ref="P3:P4"/>
    <mergeCell ref="Q3:Q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150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4"/>
    <col collapsed="false" customWidth="true" hidden="false" outlineLevel="0" max="3" min="3" style="0" width="24"/>
    <col collapsed="false" customWidth="true" hidden="false" outlineLevel="0" max="4" min="4" style="0" width="44"/>
    <col collapsed="false" customWidth="true" hidden="false" outlineLevel="0" max="5" min="5" style="0" width="20"/>
  </cols>
  <sheetData>
    <row r="1" customFormat="false" ht="15" hidden="false" customHeight="false" outlineLevel="0" collapsed="false">
      <c r="A1" s="1" t="s">
        <v>151</v>
      </c>
    </row>
    <row r="3" customFormat="false" ht="15" hidden="false" customHeight="false" outlineLevel="0" collapsed="false">
      <c r="A3" s="16" t="s">
        <v>152</v>
      </c>
      <c r="B3" s="16" t="s">
        <v>153</v>
      </c>
      <c r="C3" s="16" t="s">
        <v>154</v>
      </c>
      <c r="D3" s="16" t="s">
        <v>19</v>
      </c>
      <c r="E3" s="16" t="s">
        <v>155</v>
      </c>
    </row>
    <row r="4" customFormat="false" ht="30" hidden="false" customHeight="true" outlineLevel="0" collapsed="false">
      <c r="A4" s="14" t="s">
        <v>21</v>
      </c>
      <c r="B4" s="14" t="s">
        <v>156</v>
      </c>
      <c r="C4" s="14" t="s">
        <v>157</v>
      </c>
      <c r="D4" s="14" t="s">
        <v>158</v>
      </c>
      <c r="E4" s="14" t="s">
        <v>159</v>
      </c>
    </row>
    <row r="5" customFormat="false" ht="30" hidden="false" customHeight="true" outlineLevel="0" collapsed="false">
      <c r="A5" s="14" t="s">
        <v>21</v>
      </c>
      <c r="B5" s="14" t="s">
        <v>160</v>
      </c>
      <c r="C5" s="14" t="s">
        <v>161</v>
      </c>
      <c r="D5" s="14" t="s">
        <v>162</v>
      </c>
      <c r="E5" s="14" t="s">
        <v>163</v>
      </c>
    </row>
    <row r="6" customFormat="false" ht="30" hidden="false" customHeight="true" outlineLevel="0" collapsed="false">
      <c r="A6" s="14" t="s">
        <v>33</v>
      </c>
      <c r="B6" s="14" t="s">
        <v>164</v>
      </c>
      <c r="C6" s="14" t="s">
        <v>165</v>
      </c>
      <c r="D6" s="14" t="s">
        <v>166</v>
      </c>
      <c r="E6" s="14" t="s">
        <v>159</v>
      </c>
    </row>
    <row r="7" customFormat="false" ht="30" hidden="false" customHeight="true" outlineLevel="0" collapsed="false">
      <c r="A7" s="14" t="s">
        <v>46</v>
      </c>
      <c r="B7" s="14" t="s">
        <v>167</v>
      </c>
      <c r="C7" s="14" t="s">
        <v>168</v>
      </c>
      <c r="D7" s="14" t="s">
        <v>169</v>
      </c>
      <c r="E7" s="14" t="s">
        <v>159</v>
      </c>
    </row>
    <row r="8" customFormat="false" ht="30" hidden="false" customHeight="true" outlineLevel="0" collapsed="false">
      <c r="A8" s="14" t="s">
        <v>170</v>
      </c>
      <c r="B8" s="14" t="s">
        <v>171</v>
      </c>
      <c r="C8" s="14" t="s">
        <v>172</v>
      </c>
      <c r="D8" s="14" t="s">
        <v>173</v>
      </c>
      <c r="E8" s="14" t="s">
        <v>163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2026-09-27T12:49:40Z</dcterms:created>
  <dc:creator>openpyxl</dc:creator>
  <dc:description/>
  <dc:language>en-US</dc:language>
  <cp:lastModifiedBy/>
  <dcterms:modified xsi:type="dcterms:W3CDTF">2026-09-27T12:49:40Z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